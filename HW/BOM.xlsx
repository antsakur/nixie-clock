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akurkine20_student_oulu_fi/Documents/Sulari/"/>
    </mc:Choice>
  </mc:AlternateContent>
  <xr:revisionPtr revIDLastSave="906" documentId="8_{1F985412-BAF4-4558-B5D5-B61932C13F33}" xr6:coauthVersionLast="47" xr6:coauthVersionMax="47" xr10:uidLastSave="{D839BDDE-7D77-4B71-A2A5-76FA86E55BFA}"/>
  <bookViews>
    <workbookView xWindow="-25485" yWindow="90" windowWidth="25410" windowHeight="21240" xr2:uid="{C081FA45-456F-4433-A45A-2B8DA404C8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K49" i="1"/>
  <c r="K47" i="1"/>
  <c r="K46" i="1"/>
  <c r="K45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28" i="1"/>
  <c r="K16" i="1"/>
  <c r="K17" i="1"/>
  <c r="K18" i="1"/>
  <c r="K19" i="1"/>
  <c r="K20" i="1"/>
  <c r="K21" i="1"/>
  <c r="K22" i="1"/>
  <c r="K23" i="1"/>
  <c r="K24" i="1"/>
  <c r="K25" i="1"/>
  <c r="K27" i="1"/>
  <c r="K15" i="1"/>
  <c r="K6" i="1"/>
  <c r="K7" i="1"/>
  <c r="K8" i="1"/>
  <c r="K9" i="1"/>
  <c r="K10" i="1"/>
  <c r="K11" i="1"/>
  <c r="K12" i="1"/>
  <c r="K13" i="1"/>
  <c r="K14" i="1"/>
  <c r="K5" i="1"/>
  <c r="K50" i="1" l="1"/>
  <c r="K51" i="1" s="1"/>
</calcChain>
</file>

<file path=xl/sharedStrings.xml><?xml version="1.0" encoding="utf-8"?>
<sst xmlns="http://schemas.openxmlformats.org/spreadsheetml/2006/main" count="322" uniqueCount="225">
  <si>
    <t>Item #</t>
  </si>
  <si>
    <t>Qty</t>
  </si>
  <si>
    <t>Ref Des</t>
  </si>
  <si>
    <t>Manufacturer</t>
  </si>
  <si>
    <t>Manf part num</t>
  </si>
  <si>
    <t>Description</t>
  </si>
  <si>
    <t>Footprint</t>
  </si>
  <si>
    <t>Type</t>
  </si>
  <si>
    <t>Digikey price/pc (€)</t>
  </si>
  <si>
    <t>Total</t>
  </si>
  <si>
    <t>Comment</t>
  </si>
  <si>
    <t>Capacitors</t>
  </si>
  <si>
    <t>excluding VAT</t>
  </si>
  <si>
    <t>100pF</t>
  </si>
  <si>
    <t>C10</t>
  </si>
  <si>
    <t>Yageo</t>
  </si>
  <si>
    <t>CC0603JRNPO9BN101</t>
  </si>
  <si>
    <t>Multilayer Ceramic Capacitor, 100 pF, 50 V, ± 5%, C0G (NP0), 0603 [1608 Metric]</t>
  </si>
  <si>
    <t>0603</t>
  </si>
  <si>
    <t>SMT</t>
  </si>
  <si>
    <t>10nf, 500V, X7R</t>
  </si>
  <si>
    <t>C16</t>
  </si>
  <si>
    <t>Wurth Elektronik</t>
  </si>
  <si>
    <t>885342208009</t>
  </si>
  <si>
    <t>Cap Cer 10000PF 500V X7R 1206</t>
  </si>
  <si>
    <t>1206</t>
  </si>
  <si>
    <t>10nf</t>
  </si>
  <si>
    <t>C13</t>
  </si>
  <si>
    <t>Murata</t>
  </si>
  <si>
    <t>GCM188R72A103KA37D</t>
  </si>
  <si>
    <t>Multilayer Ceramic Capacitor, 0.01 uF, 100 V, ± 10%, X7R, 0603 [1608 Metric]</t>
  </si>
  <si>
    <t>22nf, 100V</t>
  </si>
  <si>
    <t>C8,C11</t>
  </si>
  <si>
    <t>GCM188R72A223KA37J</t>
  </si>
  <si>
    <t>Multilayer Ceramic Capacitor, 0.022 uF, 100 V, ± 10%, X7R, 0603 [1608 Metric]</t>
  </si>
  <si>
    <t>68nf, 400V</t>
  </si>
  <si>
    <t>C14, C15</t>
  </si>
  <si>
    <t>890283422001CS</t>
  </si>
  <si>
    <t>Cap, 0.068Uf, 400V, Film, Radial Rohs Compliant: Yes |Wurth Elektronik 890283422001CS</t>
  </si>
  <si>
    <t>WCAP-FTBE_L10.5xH11xP7.5</t>
  </si>
  <si>
    <t>THT</t>
  </si>
  <si>
    <t>100nf, 16V</t>
  </si>
  <si>
    <t>CC0603KRX7R7BB104</t>
  </si>
  <si>
    <t>Multilayer Ceramic Capacitor, 0.1 uF, 16 V, ± 10%, X7R, 0603 [1608 Metric]</t>
  </si>
  <si>
    <t>1uf, 25V, X7R</t>
  </si>
  <si>
    <t>C6,C7</t>
  </si>
  <si>
    <t>Samsung</t>
  </si>
  <si>
    <t>CL21B105KAFNNNE</t>
  </si>
  <si>
    <t>Multilayer Ceramic Capacitor, 1 uF, 25 V, ± 10%, X7R, 0805 [2012 Metric]</t>
  </si>
  <si>
    <t>0805</t>
  </si>
  <si>
    <t>10uf, 25V, X7R</t>
  </si>
  <si>
    <t>C3,C4,C5</t>
  </si>
  <si>
    <t>CL31B106KAHNFNE</t>
  </si>
  <si>
    <t>Multilayer Ceramic Capacitor, 10 uF, 25 V, ± 10%, X7R, 1206 [3216 Metric]</t>
  </si>
  <si>
    <t>47uF, 16V, X7R</t>
  </si>
  <si>
    <t>C9</t>
  </si>
  <si>
    <t>GRM21BR71C475KE51L</t>
  </si>
  <si>
    <t>Multilayer Ceramic Capacitor, 4.7 uF, 16 V, ± 10%, X7R, 0805 [2012 Metric]</t>
  </si>
  <si>
    <t>47uF, 25V</t>
  </si>
  <si>
    <t>C1,C2</t>
  </si>
  <si>
    <t>870025574002</t>
  </si>
  <si>
    <t>WCAP-PTG5 Aluminum Polymer Capacitors</t>
  </si>
  <si>
    <t>WCAP-PTG5_D8xH8xP3.5</t>
  </si>
  <si>
    <t>0</t>
  </si>
  <si>
    <t>R5</t>
  </si>
  <si>
    <t>RC0805FR-070RL</t>
  </si>
  <si>
    <t>Thick film chip resistor; smd; 0805; 0.00R; 0.125W; 1%; ; operating temperature: -55°C~125°C</t>
  </si>
  <si>
    <t>2</t>
  </si>
  <si>
    <t>RC0805FR-072RL</t>
  </si>
  <si>
    <t>SMD Chip Resistor, 2 Ohm, ± 1%, 125 mW, 0805 [2012 Metric], Thick Film, General Purpose</t>
  </si>
  <si>
    <t>33m, 3/4W</t>
  </si>
  <si>
    <t>R6</t>
  </si>
  <si>
    <t>Thin Film Tech</t>
  </si>
  <si>
    <t>D1WEL0805MR033F-T5</t>
  </si>
  <si>
    <t>Res 0.033 Ohm 1% 3/4W 0805</t>
  </si>
  <si>
    <t>20</t>
  </si>
  <si>
    <t>R12</t>
  </si>
  <si>
    <t>RC1206JR-0720RL</t>
  </si>
  <si>
    <t>SMD Chip Resistor, 20 Ohm, ± 5%, 250 mW, 1206 [3216 Metric], Thick Film, General Purpose</t>
  </si>
  <si>
    <t>22</t>
  </si>
  <si>
    <t>R7</t>
  </si>
  <si>
    <t>RC0603FR0722RL</t>
  </si>
  <si>
    <t>SMD Chip Resistor, 22 Ohm, ± 1%, 100 mW, 0603 [1608 Metric], Thick Film, General Purpose</t>
  </si>
  <si>
    <t>4.7k, 0.4W</t>
  </si>
  <si>
    <t>R1</t>
  </si>
  <si>
    <t>Vishay</t>
  </si>
  <si>
    <t>RCS08054K70FKEA</t>
  </si>
  <si>
    <t>Res Thick Film 0805 4.7K Ohm 1% 0.4W ±100ppm/°C Pad SMD Automotive Medical T/R</t>
  </si>
  <si>
    <t>5.1k, 1%</t>
  </si>
  <si>
    <t>R10,R11</t>
  </si>
  <si>
    <t>RC0805FR-075K1L</t>
  </si>
  <si>
    <t>SMD Chip Resistor, 5.1 kOhm, ± 1%, 125 mW, 0805 [2012 Metric], Thick Film, General Purpose</t>
  </si>
  <si>
    <t>6.8k</t>
  </si>
  <si>
    <t>R2</t>
  </si>
  <si>
    <t>RC0603FR-076K8L</t>
  </si>
  <si>
    <t>SMD Chip Resistor, 6.8 kOhm, ± 1%, 100 mW, 0603 [1608 Metric], Thick Film, General Purpose</t>
  </si>
  <si>
    <t>13k</t>
  </si>
  <si>
    <t>R13-17</t>
  </si>
  <si>
    <t>KOA Speer</t>
  </si>
  <si>
    <t>RK73B2BTTD133J</t>
  </si>
  <si>
    <t>Res Thick Film 1206 13K Ohm 5% 0.25W(1/4W) ±200ppm/C Pad SMD Automotive T/R</t>
  </si>
  <si>
    <t>15k</t>
  </si>
  <si>
    <t>R9</t>
  </si>
  <si>
    <t>RC0603FR-0715KL</t>
  </si>
  <si>
    <t>SMD Chip Resistor, 15 kOhm, ± 1%, 100 mW, 0603 [1608 Metric], Thick Film, General Purpose</t>
  </si>
  <si>
    <t>63.4k</t>
  </si>
  <si>
    <t>R3</t>
  </si>
  <si>
    <t>Stackpole Electronics</t>
  </si>
  <si>
    <t>RMCF0603FT63K4</t>
  </si>
  <si>
    <t>Res Thick Film 0603 63.4K Ohm 1% 1/10W ±100ppm/°C Molded SMD SMD Paper T/R</t>
  </si>
  <si>
    <t>100k</t>
  </si>
  <si>
    <t>R18-R25</t>
  </si>
  <si>
    <t>1.6M</t>
  </si>
  <si>
    <t>R8</t>
  </si>
  <si>
    <t>RC1206FR-071M6L</t>
  </si>
  <si>
    <t>SMD Chip Resistor, 1.6 MOhm, ± 1%, 250 mW, 1206 [3216 Metric], Thick Film, General Purpose</t>
  </si>
  <si>
    <t>2A, 600V</t>
  </si>
  <si>
    <t>D2</t>
  </si>
  <si>
    <t>VS-3EMH06-M3/5AT</t>
  </si>
  <si>
    <t>Diode Hyper Fast Recovery Rectifier 600V 3A 2-Pin DO-214AC Plastic T/R</t>
  </si>
  <si>
    <t>SMA (DO-214AC)</t>
  </si>
  <si>
    <t>0.25A, 100V</t>
  </si>
  <si>
    <t>D1</t>
  </si>
  <si>
    <t>Diodes Inc.</t>
  </si>
  <si>
    <t>1N4148WSF-7</t>
  </si>
  <si>
    <t>Rectifier Diode Small Signal Switching 100V 0.25A 4ns 2-Pin SOD-323F T/R</t>
  </si>
  <si>
    <t>SOD323F</t>
  </si>
  <si>
    <t>40V</t>
  </si>
  <si>
    <t>Q1</t>
  </si>
  <si>
    <t>Infineon</t>
  </si>
  <si>
    <t>BSC059N04LS6</t>
  </si>
  <si>
    <t>OptiMO 6 40V power MOSFETs combining best-in-class RDS(on) with superior switching performance</t>
  </si>
  <si>
    <t>TDSON-8 FL</t>
  </si>
  <si>
    <t>10uH</t>
  </si>
  <si>
    <t>T1</t>
  </si>
  <si>
    <t>750032051</t>
  </si>
  <si>
    <t>Pulse Transformer, 1: 10, 10 H, 0.7 Ohm, 1 Kv</t>
  </si>
  <si>
    <t>-</t>
  </si>
  <si>
    <t>LT3757A</t>
  </si>
  <si>
    <t>U1</t>
  </si>
  <si>
    <t>Analog Devices</t>
  </si>
  <si>
    <t>LT3757AEMSE#PBF</t>
  </si>
  <si>
    <t>DC DC Cntrlr Single-OUT Flyback Controller 2.9V to 40V Input Automotive 10-Pin MSOP EP</t>
  </si>
  <si>
    <t>10-TFSOP, 10-MSOP (0.118", 3.00mm Width) Exposed Pad</t>
  </si>
  <si>
    <t>TPIC6B595</t>
  </si>
  <si>
    <t>U3-U8</t>
  </si>
  <si>
    <t>Texas Instruments</t>
  </si>
  <si>
    <t>TPIC6B595DWR</t>
  </si>
  <si>
    <t>8 Bit Sipo Shift Register, SOIC-20; Shif; Msl: Msl 1 - Unlimited; Svhc: No Svhc (15-JAN-2019)</t>
  </si>
  <si>
    <t>20-SOIC</t>
  </si>
  <si>
    <t>SN74HCT04</t>
  </si>
  <si>
    <t>U9</t>
  </si>
  <si>
    <t>SN74HCT04DR</t>
  </si>
  <si>
    <t>6-ch, 4.5-V to 5.5-V inverters with TTL-compatible CMOS inputs 14-SOIC -40 to 85</t>
  </si>
  <si>
    <t>14-SOIC</t>
  </si>
  <si>
    <t>USB4125</t>
  </si>
  <si>
    <t>J1</t>
  </si>
  <si>
    <t>GCT</t>
  </si>
  <si>
    <t>USB4125-GF-A-0190</t>
  </si>
  <si>
    <t>24 (6+18 Dummy) Position USB-C (USB TYPE-C) USB 2.0 Receptacle Connector</t>
  </si>
  <si>
    <t>USB 6P</t>
  </si>
  <si>
    <t>5POS 1.25mm</t>
  </si>
  <si>
    <t>J4</t>
  </si>
  <si>
    <t>Molex</t>
  </si>
  <si>
    <t>0530480510</t>
  </si>
  <si>
    <t>Conn Shrouded Header (4 Sides) HDR 5 POS 1.25mm Solder RA Side Entry Thru-Hole PicoBlade Tray</t>
  </si>
  <si>
    <t>1x05_P1.25mm</t>
  </si>
  <si>
    <t>0510210500</t>
  </si>
  <si>
    <t>MOLEX 51021-0500 1.25mm Pitch Housing Female 5p PicoBlade Wire-to-Wire +Wire-to-Board</t>
  </si>
  <si>
    <t>CONNECTOR</t>
  </si>
  <si>
    <t>28-32AWG</t>
  </si>
  <si>
    <t>0500588000</t>
  </si>
  <si>
    <t>1.25mm Pitch, PicoBlade Female Crimp Terminal, Tin (Sn) Plating, 28-32 AWG, Reel</t>
  </si>
  <si>
    <t>2POS socket</t>
  </si>
  <si>
    <t>J5</t>
  </si>
  <si>
    <t>Sullins</t>
  </si>
  <si>
    <t>PPPC021LFBN-RC</t>
  </si>
  <si>
    <t>Female, 2 C, Straight .100" CC; 3.20mm Tail, No Mounting; PBT, Phos. Bronze, 105 C</t>
  </si>
  <si>
    <t>1x02_P2.54mm</t>
  </si>
  <si>
    <t>3POS socket</t>
  </si>
  <si>
    <t>J2</t>
  </si>
  <si>
    <t>PPPC031LFBN-RC</t>
  </si>
  <si>
    <t>3 Position Total Single Row 2.54 mm Pitch Straight Female Header</t>
  </si>
  <si>
    <t>1x03_P2.54mm</t>
  </si>
  <si>
    <t>6POS socket</t>
  </si>
  <si>
    <t>J3</t>
  </si>
  <si>
    <t>PPPC061LFBN-RC</t>
  </si>
  <si>
    <t>6 Position Header Connector 0.100 (2.54mm) Through Hole Gold"</t>
  </si>
  <si>
    <t>1x06_P2.54mm</t>
  </si>
  <si>
    <t>2POS  header</t>
  </si>
  <si>
    <t>J8</t>
  </si>
  <si>
    <t>PREC002SAAN-RC</t>
  </si>
  <si>
    <t>Automotive Connectors CLIP HSG FOR 090 II MLC</t>
  </si>
  <si>
    <t>3POS header</t>
  </si>
  <si>
    <t>J6</t>
  </si>
  <si>
    <t>PREC003SAAN-RC</t>
  </si>
  <si>
    <t>Conn Header Vert 3POS 2.54MM</t>
  </si>
  <si>
    <t>6POS header</t>
  </si>
  <si>
    <t>J7</t>
  </si>
  <si>
    <t>PREC006SAAN-RC</t>
  </si>
  <si>
    <t>Conn Header .100" Sngl Str 6POS</t>
  </si>
  <si>
    <t>Tube socket</t>
  </si>
  <si>
    <t>Preci-Dip</t>
  </si>
  <si>
    <t>01401-87-3010</t>
  </si>
  <si>
    <t>Pin Receptacle Connector 0.014"</t>
  </si>
  <si>
    <t>ESP32-C6</t>
  </si>
  <si>
    <t>U2</t>
  </si>
  <si>
    <t>Espressif</t>
  </si>
  <si>
    <t>ESP32-C6-DEVKITC-1-N8</t>
  </si>
  <si>
    <t>Development Board WiFi, Bluetooth® 5, Flash 8MB</t>
  </si>
  <si>
    <t>2x15_P2.54mm</t>
  </si>
  <si>
    <t>15POS socket</t>
  </si>
  <si>
    <t>PPTC151LFBN-RC</t>
  </si>
  <si>
    <t>Board Connector, 15 Contact(s), 1 Row(s), Female, Straight, 0.1 inch Pitch, Solder Terminal, Locking</t>
  </si>
  <si>
    <t>970150321</t>
  </si>
  <si>
    <t>WA-SSTII Steel Spacer Stud Metric Thread int./int.</t>
  </si>
  <si>
    <t>M3x0.5 15mm</t>
  </si>
  <si>
    <t>50M030050P008</t>
  </si>
  <si>
    <t>Essentra</t>
  </si>
  <si>
    <t>Pan Phillips Screw, M3 X .5 Thread, 8MM Lg | Essentra Components 50M030050P008</t>
  </si>
  <si>
    <t>M3x0.5 8mm</t>
  </si>
  <si>
    <t>Total w/o VAT</t>
  </si>
  <si>
    <t>TOTAL VAT 24%</t>
  </si>
  <si>
    <t>C12, C17-22</t>
  </si>
  <si>
    <t>RC0805FR-07100KL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</si>
</sst>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2" fontId="0" fillId="0" borderId="0" xfId="0" applyNumberFormat="1"/>
    <xf numFmtId="164" fontId="0" fillId="0" borderId="0" xfId="0" applyNumberFormat="1"/>
    <xf numFmtId="2" fontId="3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C481-9B85-49F1-8BB8-65ABF740A736}">
  <dimension ref="A1:K51"/>
  <sheetViews>
    <sheetView tabSelected="1" workbookViewId="0">
      <selection activeCell="F13" sqref="F13"/>
    </sheetView>
  </sheetViews>
  <sheetFormatPr defaultRowHeight="15" x14ac:dyDescent="0.25"/>
  <cols>
    <col min="1" max="1" width="7.85546875" customWidth="1"/>
    <col min="3" max="3" width="17" customWidth="1"/>
    <col min="4" max="4" width="12.5703125" customWidth="1"/>
    <col min="5" max="5" width="23.28515625" customWidth="1"/>
    <col min="6" max="6" width="26.85546875" customWidth="1"/>
    <col min="7" max="7" width="48.5703125" customWidth="1"/>
    <col min="8" max="8" width="31.85546875" customWidth="1"/>
    <col min="9" max="9" width="13.140625" customWidth="1"/>
    <col min="10" max="10" width="22.28515625" customWidth="1"/>
    <col min="11" max="11" width="21.140625" customWidth="1"/>
  </cols>
  <sheetData>
    <row r="1" spans="1:11" x14ac:dyDescent="0.25">
      <c r="A1" s="14" t="s">
        <v>0</v>
      </c>
      <c r="B1" s="14" t="s">
        <v>1</v>
      </c>
      <c r="C1" s="1"/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</row>
    <row r="2" spans="1:11" x14ac:dyDescent="0.25">
      <c r="A2" s="14"/>
      <c r="B2" s="14"/>
      <c r="C2" s="1" t="s">
        <v>10</v>
      </c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3"/>
      <c r="B3" s="3"/>
      <c r="C3" s="13" t="s">
        <v>11</v>
      </c>
      <c r="D3" s="3"/>
      <c r="E3" s="3"/>
      <c r="F3" s="3"/>
      <c r="G3" s="3"/>
      <c r="H3" s="3"/>
      <c r="I3" s="3"/>
      <c r="J3" s="1" t="s">
        <v>12</v>
      </c>
      <c r="K3" s="3"/>
    </row>
    <row r="4" spans="1:11" x14ac:dyDescent="0.25">
      <c r="A4" s="3"/>
      <c r="B4" s="3"/>
      <c r="C4" s="13"/>
      <c r="D4" s="3"/>
      <c r="E4" s="3"/>
      <c r="F4" s="3"/>
      <c r="G4" s="3"/>
      <c r="H4" s="3"/>
      <c r="I4" s="3"/>
      <c r="J4" s="3"/>
      <c r="K4" s="3"/>
    </row>
    <row r="5" spans="1:11" x14ac:dyDescent="0.25">
      <c r="A5" s="2"/>
      <c r="B5" s="4">
        <v>1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6">
        <v>0.09</v>
      </c>
      <c r="K5" s="6">
        <f>B5*J5</f>
        <v>0.09</v>
      </c>
    </row>
    <row r="6" spans="1:11" x14ac:dyDescent="0.25">
      <c r="A6" s="2"/>
      <c r="B6" s="4">
        <v>1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19</v>
      </c>
      <c r="J6" s="6">
        <v>0.12</v>
      </c>
      <c r="K6" s="6">
        <f t="shared" ref="K6:K14" si="0">B6*J6</f>
        <v>0.12</v>
      </c>
    </row>
    <row r="7" spans="1:11" x14ac:dyDescent="0.25">
      <c r="A7" s="2"/>
      <c r="B7" s="4">
        <v>1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18</v>
      </c>
      <c r="I7" s="2" t="s">
        <v>19</v>
      </c>
      <c r="J7">
        <v>0.09</v>
      </c>
      <c r="K7" s="6">
        <f t="shared" si="0"/>
        <v>0.09</v>
      </c>
    </row>
    <row r="8" spans="1:11" x14ac:dyDescent="0.25">
      <c r="A8" s="2"/>
      <c r="B8" s="4">
        <v>2</v>
      </c>
      <c r="C8" s="2" t="s">
        <v>31</v>
      </c>
      <c r="D8" s="2" t="s">
        <v>32</v>
      </c>
      <c r="E8" s="2" t="s">
        <v>28</v>
      </c>
      <c r="F8" s="2" t="s">
        <v>33</v>
      </c>
      <c r="G8" s="2" t="s">
        <v>34</v>
      </c>
      <c r="H8" s="2" t="s">
        <v>18</v>
      </c>
      <c r="I8" s="2" t="s">
        <v>19</v>
      </c>
      <c r="J8">
        <v>0.1</v>
      </c>
      <c r="K8" s="6">
        <f t="shared" si="0"/>
        <v>0.2</v>
      </c>
    </row>
    <row r="9" spans="1:11" x14ac:dyDescent="0.25">
      <c r="A9" s="2"/>
      <c r="B9" s="4">
        <v>2</v>
      </c>
      <c r="C9" s="2" t="s">
        <v>35</v>
      </c>
      <c r="D9" s="2" t="s">
        <v>36</v>
      </c>
      <c r="E9" s="2" t="s">
        <v>22</v>
      </c>
      <c r="F9" s="2" t="s">
        <v>37</v>
      </c>
      <c r="G9" s="2" t="s">
        <v>38</v>
      </c>
      <c r="H9" t="s">
        <v>39</v>
      </c>
      <c r="I9" s="2" t="s">
        <v>40</v>
      </c>
      <c r="J9">
        <v>0.44</v>
      </c>
      <c r="K9" s="6">
        <f t="shared" si="0"/>
        <v>0.88</v>
      </c>
    </row>
    <row r="10" spans="1:11" x14ac:dyDescent="0.25">
      <c r="A10" s="2"/>
      <c r="B10" s="4">
        <v>7</v>
      </c>
      <c r="C10" s="2" t="s">
        <v>41</v>
      </c>
      <c r="D10" s="2" t="s">
        <v>223</v>
      </c>
      <c r="E10" s="2" t="s">
        <v>15</v>
      </c>
      <c r="F10" s="2" t="s">
        <v>42</v>
      </c>
      <c r="G10" s="2" t="s">
        <v>43</v>
      </c>
      <c r="H10" s="2" t="s">
        <v>18</v>
      </c>
      <c r="I10" s="2" t="s">
        <v>19</v>
      </c>
      <c r="J10">
        <v>3.9E-2</v>
      </c>
      <c r="K10" s="6">
        <f t="shared" si="0"/>
        <v>0.27300000000000002</v>
      </c>
    </row>
    <row r="11" spans="1:11" x14ac:dyDescent="0.25">
      <c r="A11" s="2"/>
      <c r="B11" s="4">
        <v>2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  <c r="I11" s="2" t="s">
        <v>19</v>
      </c>
      <c r="J11">
        <v>0.09</v>
      </c>
      <c r="K11" s="6">
        <f t="shared" si="0"/>
        <v>0.18</v>
      </c>
    </row>
    <row r="12" spans="1:11" x14ac:dyDescent="0.25">
      <c r="A12" s="2"/>
      <c r="B12" s="4">
        <v>3</v>
      </c>
      <c r="C12" s="2" t="s">
        <v>50</v>
      </c>
      <c r="D12" s="2" t="s">
        <v>51</v>
      </c>
      <c r="E12" s="2" t="s">
        <v>46</v>
      </c>
      <c r="F12" s="2" t="s">
        <v>52</v>
      </c>
      <c r="G12" s="2" t="s">
        <v>53</v>
      </c>
      <c r="H12" s="2" t="s">
        <v>25</v>
      </c>
      <c r="I12" s="2" t="s">
        <v>19</v>
      </c>
      <c r="J12">
        <v>0.21</v>
      </c>
      <c r="K12" s="6">
        <f t="shared" si="0"/>
        <v>0.63</v>
      </c>
    </row>
    <row r="13" spans="1:11" x14ac:dyDescent="0.25">
      <c r="A13" s="2"/>
      <c r="B13" s="4">
        <v>1</v>
      </c>
      <c r="C13" s="2" t="s">
        <v>54</v>
      </c>
      <c r="D13" s="2" t="s">
        <v>55</v>
      </c>
      <c r="E13" s="2" t="s">
        <v>28</v>
      </c>
      <c r="F13" s="2" t="s">
        <v>56</v>
      </c>
      <c r="G13" s="2" t="s">
        <v>57</v>
      </c>
      <c r="H13" s="2" t="s">
        <v>49</v>
      </c>
      <c r="I13" s="2" t="s">
        <v>19</v>
      </c>
      <c r="J13">
        <v>0.14000000000000001</v>
      </c>
      <c r="K13" s="6">
        <f t="shared" si="0"/>
        <v>0.14000000000000001</v>
      </c>
    </row>
    <row r="14" spans="1:11" x14ac:dyDescent="0.25">
      <c r="A14" s="2"/>
      <c r="B14" s="4">
        <v>2</v>
      </c>
      <c r="C14" s="2" t="s">
        <v>58</v>
      </c>
      <c r="D14" s="2" t="s">
        <v>59</v>
      </c>
      <c r="E14" s="2" t="s">
        <v>22</v>
      </c>
      <c r="F14" s="2" t="s">
        <v>60</v>
      </c>
      <c r="G14" s="2" t="s">
        <v>61</v>
      </c>
      <c r="H14" s="2" t="s">
        <v>62</v>
      </c>
      <c r="I14" s="2" t="s">
        <v>40</v>
      </c>
      <c r="J14">
        <v>0.68</v>
      </c>
      <c r="K14" s="6">
        <f t="shared" si="0"/>
        <v>1.36</v>
      </c>
    </row>
    <row r="15" spans="1:11" x14ac:dyDescent="0.25">
      <c r="A15" s="2"/>
      <c r="B15" s="4">
        <v>1</v>
      </c>
      <c r="C15" s="2" t="s">
        <v>63</v>
      </c>
      <c r="D15" s="2" t="s">
        <v>64</v>
      </c>
      <c r="E15" s="2" t="s">
        <v>15</v>
      </c>
      <c r="F15" s="2" t="s">
        <v>65</v>
      </c>
      <c r="G15" s="2" t="s">
        <v>66</v>
      </c>
      <c r="H15" s="2" t="s">
        <v>49</v>
      </c>
      <c r="I15" s="2" t="s">
        <v>19</v>
      </c>
      <c r="J15" s="6">
        <v>0.09</v>
      </c>
      <c r="K15" s="6">
        <f>PRODUCT(B15,J15)</f>
        <v>0.09</v>
      </c>
    </row>
    <row r="16" spans="1:11" x14ac:dyDescent="0.25">
      <c r="A16" s="2"/>
      <c r="B16" s="4">
        <v>1</v>
      </c>
      <c r="C16" s="2" t="s">
        <v>67</v>
      </c>
      <c r="D16" s="2" t="s">
        <v>64</v>
      </c>
      <c r="E16" s="2" t="s">
        <v>15</v>
      </c>
      <c r="F16" s="2" t="s">
        <v>68</v>
      </c>
      <c r="G16" s="2" t="s">
        <v>69</v>
      </c>
      <c r="H16" s="2" t="s">
        <v>49</v>
      </c>
      <c r="I16" s="2" t="s">
        <v>19</v>
      </c>
      <c r="J16" s="6">
        <v>0.09</v>
      </c>
      <c r="K16" s="6">
        <f t="shared" ref="K16:K27" si="1">PRODUCT(B16,J16)</f>
        <v>0.09</v>
      </c>
    </row>
    <row r="17" spans="1:11" x14ac:dyDescent="0.25">
      <c r="A17" s="2"/>
      <c r="B17" s="4">
        <v>1</v>
      </c>
      <c r="C17" s="2" t="s">
        <v>70</v>
      </c>
      <c r="D17" s="12" t="s">
        <v>71</v>
      </c>
      <c r="E17" s="2" t="s">
        <v>72</v>
      </c>
      <c r="F17" s="2" t="s">
        <v>73</v>
      </c>
      <c r="G17" s="2" t="s">
        <v>74</v>
      </c>
      <c r="H17" t="s">
        <v>49</v>
      </c>
      <c r="I17" s="2" t="s">
        <v>19</v>
      </c>
      <c r="J17" s="6">
        <v>0.42</v>
      </c>
      <c r="K17" s="6">
        <f t="shared" si="1"/>
        <v>0.42</v>
      </c>
    </row>
    <row r="18" spans="1:11" x14ac:dyDescent="0.25">
      <c r="A18" s="2"/>
      <c r="B18" s="4">
        <v>1</v>
      </c>
      <c r="C18" s="2" t="s">
        <v>75</v>
      </c>
      <c r="D18" s="12" t="s">
        <v>76</v>
      </c>
      <c r="E18" s="2" t="s">
        <v>15</v>
      </c>
      <c r="F18" s="2" t="s">
        <v>77</v>
      </c>
      <c r="G18" s="2" t="s">
        <v>78</v>
      </c>
      <c r="H18" s="2" t="s">
        <v>25</v>
      </c>
      <c r="I18" s="2" t="s">
        <v>19</v>
      </c>
      <c r="J18" s="6">
        <v>0.09</v>
      </c>
      <c r="K18" s="6">
        <f t="shared" si="1"/>
        <v>0.09</v>
      </c>
    </row>
    <row r="19" spans="1:11" x14ac:dyDescent="0.25">
      <c r="A19" s="2"/>
      <c r="B19" s="4">
        <v>1</v>
      </c>
      <c r="C19" s="2" t="s">
        <v>79</v>
      </c>
      <c r="D19" s="2" t="s">
        <v>80</v>
      </c>
      <c r="E19" s="2" t="s">
        <v>15</v>
      </c>
      <c r="F19" s="2" t="s">
        <v>81</v>
      </c>
      <c r="G19" s="2" t="s">
        <v>82</v>
      </c>
      <c r="H19" s="2" t="s">
        <v>18</v>
      </c>
      <c r="I19" s="2" t="s">
        <v>19</v>
      </c>
      <c r="J19" s="6">
        <v>0.09</v>
      </c>
      <c r="K19" s="6">
        <f t="shared" si="1"/>
        <v>0.09</v>
      </c>
    </row>
    <row r="20" spans="1:11" x14ac:dyDescent="0.25">
      <c r="A20" s="2"/>
      <c r="B20" s="4">
        <v>1</v>
      </c>
      <c r="C20" s="2" t="s">
        <v>83</v>
      </c>
      <c r="D20" s="2" t="s">
        <v>84</v>
      </c>
      <c r="E20" s="2" t="s">
        <v>85</v>
      </c>
      <c r="F20" s="2" t="s">
        <v>86</v>
      </c>
      <c r="G20" s="2" t="s">
        <v>87</v>
      </c>
      <c r="H20" s="2" t="s">
        <v>49</v>
      </c>
      <c r="I20" s="2" t="s">
        <v>19</v>
      </c>
      <c r="J20" s="6">
        <v>0.12</v>
      </c>
      <c r="K20" s="6">
        <f t="shared" si="1"/>
        <v>0.12</v>
      </c>
    </row>
    <row r="21" spans="1:11" x14ac:dyDescent="0.25">
      <c r="A21" s="2"/>
      <c r="B21" s="4">
        <v>2</v>
      </c>
      <c r="C21" s="2" t="s">
        <v>88</v>
      </c>
      <c r="D21" s="2" t="s">
        <v>89</v>
      </c>
      <c r="E21" s="2" t="s">
        <v>15</v>
      </c>
      <c r="F21" s="2" t="s">
        <v>90</v>
      </c>
      <c r="G21" s="2" t="s">
        <v>91</v>
      </c>
      <c r="H21" s="2" t="s">
        <v>49</v>
      </c>
      <c r="I21" s="2" t="s">
        <v>19</v>
      </c>
      <c r="J21" s="6">
        <v>0.09</v>
      </c>
      <c r="K21" s="6">
        <f t="shared" si="1"/>
        <v>0.18</v>
      </c>
    </row>
    <row r="22" spans="1:11" x14ac:dyDescent="0.25">
      <c r="A22" s="2"/>
      <c r="B22" s="4">
        <v>1</v>
      </c>
      <c r="C22" s="2" t="s">
        <v>92</v>
      </c>
      <c r="D22" s="2" t="s">
        <v>93</v>
      </c>
      <c r="E22" s="2" t="s">
        <v>15</v>
      </c>
      <c r="F22" s="2" t="s">
        <v>94</v>
      </c>
      <c r="G22" s="2" t="s">
        <v>95</v>
      </c>
      <c r="H22" s="2" t="s">
        <v>18</v>
      </c>
      <c r="I22" s="2" t="s">
        <v>19</v>
      </c>
      <c r="J22" s="6">
        <v>0.09</v>
      </c>
      <c r="K22" s="6">
        <f t="shared" si="1"/>
        <v>0.09</v>
      </c>
    </row>
    <row r="23" spans="1:11" x14ac:dyDescent="0.25">
      <c r="A23" s="2"/>
      <c r="B23" s="4">
        <v>5</v>
      </c>
      <c r="C23" s="2" t="s">
        <v>96</v>
      </c>
      <c r="D23" s="2" t="s">
        <v>97</v>
      </c>
      <c r="E23" s="2" t="s">
        <v>98</v>
      </c>
      <c r="F23" s="2" t="s">
        <v>99</v>
      </c>
      <c r="G23" s="2" t="s">
        <v>100</v>
      </c>
      <c r="H23" s="2" t="s">
        <v>25</v>
      </c>
      <c r="I23" s="2" t="s">
        <v>19</v>
      </c>
      <c r="J23" s="6">
        <v>0.03</v>
      </c>
      <c r="K23" s="6">
        <f t="shared" si="1"/>
        <v>0.15</v>
      </c>
    </row>
    <row r="24" spans="1:11" x14ac:dyDescent="0.25">
      <c r="A24" s="2"/>
      <c r="B24" s="4">
        <v>1</v>
      </c>
      <c r="C24" s="2" t="s">
        <v>101</v>
      </c>
      <c r="D24" s="2" t="s">
        <v>102</v>
      </c>
      <c r="E24" s="2" t="s">
        <v>15</v>
      </c>
      <c r="F24" s="2" t="s">
        <v>103</v>
      </c>
      <c r="G24" s="2" t="s">
        <v>104</v>
      </c>
      <c r="H24" s="2" t="s">
        <v>18</v>
      </c>
      <c r="I24" s="2" t="s">
        <v>19</v>
      </c>
      <c r="J24" s="6">
        <v>0.09</v>
      </c>
      <c r="K24" s="6">
        <f t="shared" si="1"/>
        <v>0.09</v>
      </c>
    </row>
    <row r="25" spans="1:11" x14ac:dyDescent="0.25">
      <c r="A25" s="2"/>
      <c r="B25" s="4">
        <v>1</v>
      </c>
      <c r="C25" s="2" t="s">
        <v>105</v>
      </c>
      <c r="D25" s="2" t="s">
        <v>106</v>
      </c>
      <c r="E25" s="2" t="s">
        <v>107</v>
      </c>
      <c r="F25" s="2" t="s">
        <v>108</v>
      </c>
      <c r="G25" s="2" t="s">
        <v>109</v>
      </c>
      <c r="H25" s="2" t="s">
        <v>18</v>
      </c>
      <c r="I25" s="2" t="s">
        <v>19</v>
      </c>
      <c r="J25" s="6">
        <v>0.09</v>
      </c>
      <c r="K25" s="6">
        <f t="shared" si="1"/>
        <v>0.09</v>
      </c>
    </row>
    <row r="26" spans="1:11" x14ac:dyDescent="0.25">
      <c r="A26" s="2"/>
      <c r="B26" s="4">
        <v>8</v>
      </c>
      <c r="C26" s="2" t="s">
        <v>110</v>
      </c>
      <c r="D26" s="2" t="s">
        <v>111</v>
      </c>
      <c r="E26" s="2" t="s">
        <v>15</v>
      </c>
      <c r="F26" s="15" t="s">
        <v>224</v>
      </c>
      <c r="G26" s="2"/>
      <c r="H26" s="2" t="s">
        <v>49</v>
      </c>
      <c r="I26" s="2" t="s">
        <v>19</v>
      </c>
      <c r="J26" s="7"/>
      <c r="K26" s="6"/>
    </row>
    <row r="27" spans="1:11" x14ac:dyDescent="0.25">
      <c r="A27" s="2"/>
      <c r="B27" s="4">
        <v>1</v>
      </c>
      <c r="C27" s="2" t="s">
        <v>112</v>
      </c>
      <c r="D27" s="2" t="s">
        <v>113</v>
      </c>
      <c r="E27" s="2" t="s">
        <v>15</v>
      </c>
      <c r="F27" s="2" t="s">
        <v>114</v>
      </c>
      <c r="G27" s="2" t="s">
        <v>115</v>
      </c>
      <c r="H27" s="2" t="s">
        <v>25</v>
      </c>
      <c r="I27" s="2" t="s">
        <v>19</v>
      </c>
      <c r="J27" s="6">
        <v>0.09</v>
      </c>
      <c r="K27" s="6">
        <f t="shared" si="1"/>
        <v>0.09</v>
      </c>
    </row>
    <row r="28" spans="1:11" x14ac:dyDescent="0.25">
      <c r="A28" s="2"/>
      <c r="B28" s="4">
        <v>1</v>
      </c>
      <c r="C28" s="2" t="s">
        <v>116</v>
      </c>
      <c r="D28" s="2" t="s">
        <v>117</v>
      </c>
      <c r="E28" s="2" t="s">
        <v>85</v>
      </c>
      <c r="F28" s="2" t="s">
        <v>118</v>
      </c>
      <c r="G28" s="2" t="s">
        <v>119</v>
      </c>
      <c r="H28" s="2" t="s">
        <v>120</v>
      </c>
      <c r="I28" s="2" t="s">
        <v>19</v>
      </c>
      <c r="J28" s="6">
        <v>0.4</v>
      </c>
      <c r="K28" s="6">
        <f>PRODUCT(B28,J28)</f>
        <v>0.4</v>
      </c>
    </row>
    <row r="29" spans="1:11" x14ac:dyDescent="0.25">
      <c r="A29" s="2"/>
      <c r="B29" s="4">
        <v>1</v>
      </c>
      <c r="C29" s="2" t="s">
        <v>121</v>
      </c>
      <c r="D29" s="2" t="s">
        <v>122</v>
      </c>
      <c r="E29" s="2" t="s">
        <v>123</v>
      </c>
      <c r="F29" s="2" t="s">
        <v>124</v>
      </c>
      <c r="G29" s="2" t="s">
        <v>125</v>
      </c>
      <c r="H29" s="2" t="s">
        <v>126</v>
      </c>
      <c r="I29" s="2" t="s">
        <v>19</v>
      </c>
      <c r="J29" s="6">
        <v>0.17</v>
      </c>
      <c r="K29" s="6">
        <f t="shared" ref="K29:K49" si="2">PRODUCT(B29,J29)</f>
        <v>0.17</v>
      </c>
    </row>
    <row r="30" spans="1:11" x14ac:dyDescent="0.25">
      <c r="A30" s="2"/>
      <c r="B30" s="4">
        <v>1</v>
      </c>
      <c r="C30" s="2" t="s">
        <v>127</v>
      </c>
      <c r="D30" s="2" t="s">
        <v>128</v>
      </c>
      <c r="E30" s="2" t="s">
        <v>129</v>
      </c>
      <c r="F30" s="2" t="s">
        <v>130</v>
      </c>
      <c r="G30" s="2" t="s">
        <v>131</v>
      </c>
      <c r="H30" s="2" t="s">
        <v>132</v>
      </c>
      <c r="I30" s="2" t="s">
        <v>19</v>
      </c>
      <c r="J30" s="6">
        <v>1.05</v>
      </c>
      <c r="K30" s="6">
        <f t="shared" si="2"/>
        <v>1.05</v>
      </c>
    </row>
    <row r="31" spans="1:11" x14ac:dyDescent="0.25">
      <c r="A31" s="2"/>
      <c r="B31" s="4">
        <v>1</v>
      </c>
      <c r="C31" s="2" t="s">
        <v>133</v>
      </c>
      <c r="D31" s="2" t="s">
        <v>134</v>
      </c>
      <c r="E31" s="2" t="s">
        <v>22</v>
      </c>
      <c r="F31" s="2" t="s">
        <v>135</v>
      </c>
      <c r="G31" s="2" t="s">
        <v>136</v>
      </c>
      <c r="H31" s="2" t="s">
        <v>137</v>
      </c>
      <c r="I31" s="2" t="s">
        <v>19</v>
      </c>
      <c r="J31" s="6">
        <v>4.68</v>
      </c>
      <c r="K31" s="6">
        <f t="shared" si="2"/>
        <v>4.68</v>
      </c>
    </row>
    <row r="32" spans="1:11" x14ac:dyDescent="0.25">
      <c r="A32" s="2"/>
      <c r="B32" s="5">
        <v>1</v>
      </c>
      <c r="C32" s="2" t="s">
        <v>138</v>
      </c>
      <c r="D32" s="2" t="s">
        <v>139</v>
      </c>
      <c r="E32" s="2" t="s">
        <v>140</v>
      </c>
      <c r="F32" s="2" t="s">
        <v>141</v>
      </c>
      <c r="G32" s="2" t="s">
        <v>142</v>
      </c>
      <c r="H32" t="s">
        <v>143</v>
      </c>
      <c r="I32" s="2" t="s">
        <v>19</v>
      </c>
      <c r="J32" s="6">
        <v>6.15</v>
      </c>
      <c r="K32" s="6">
        <f t="shared" si="2"/>
        <v>6.15</v>
      </c>
    </row>
    <row r="33" spans="1:11" x14ac:dyDescent="0.25">
      <c r="A33" s="2"/>
      <c r="B33" s="4">
        <v>6</v>
      </c>
      <c r="C33" s="2" t="s">
        <v>144</v>
      </c>
      <c r="D33" s="2" t="s">
        <v>145</v>
      </c>
      <c r="E33" s="2" t="s">
        <v>146</v>
      </c>
      <c r="F33" s="2" t="s">
        <v>147</v>
      </c>
      <c r="G33" s="2" t="s">
        <v>148</v>
      </c>
      <c r="H33" s="2" t="s">
        <v>149</v>
      </c>
      <c r="I33" s="2" t="s">
        <v>19</v>
      </c>
      <c r="J33" s="6">
        <v>1.39</v>
      </c>
      <c r="K33" s="6">
        <f t="shared" si="2"/>
        <v>8.34</v>
      </c>
    </row>
    <row r="34" spans="1:11" x14ac:dyDescent="0.25">
      <c r="A34" s="2"/>
      <c r="B34" s="4">
        <v>1</v>
      </c>
      <c r="C34" s="2" t="s">
        <v>150</v>
      </c>
      <c r="D34" s="2" t="s">
        <v>151</v>
      </c>
      <c r="E34" s="2" t="s">
        <v>146</v>
      </c>
      <c r="F34" s="2" t="s">
        <v>152</v>
      </c>
      <c r="G34" s="2" t="s">
        <v>153</v>
      </c>
      <c r="H34" s="2" t="s">
        <v>154</v>
      </c>
      <c r="I34" s="2" t="s">
        <v>19</v>
      </c>
      <c r="J34" s="6">
        <v>0.33</v>
      </c>
      <c r="K34" s="6">
        <f t="shared" si="2"/>
        <v>0.33</v>
      </c>
    </row>
    <row r="35" spans="1:11" x14ac:dyDescent="0.25">
      <c r="A35" s="2"/>
      <c r="B35" s="4">
        <v>1</v>
      </c>
      <c r="C35" s="2" t="s">
        <v>155</v>
      </c>
      <c r="D35" s="2" t="s">
        <v>156</v>
      </c>
      <c r="E35" s="2" t="s">
        <v>157</v>
      </c>
      <c r="F35" s="2" t="s">
        <v>158</v>
      </c>
      <c r="G35" s="2" t="s">
        <v>159</v>
      </c>
      <c r="H35" s="2" t="s">
        <v>160</v>
      </c>
      <c r="I35" s="2" t="s">
        <v>40</v>
      </c>
      <c r="J35" s="6">
        <v>0.62</v>
      </c>
      <c r="K35" s="6">
        <f t="shared" si="2"/>
        <v>0.62</v>
      </c>
    </row>
    <row r="36" spans="1:11" x14ac:dyDescent="0.25">
      <c r="A36" s="2"/>
      <c r="B36" s="4">
        <v>1</v>
      </c>
      <c r="C36" s="2" t="s">
        <v>161</v>
      </c>
      <c r="D36" s="2" t="s">
        <v>162</v>
      </c>
      <c r="E36" s="2" t="s">
        <v>163</v>
      </c>
      <c r="F36" s="2" t="s">
        <v>164</v>
      </c>
      <c r="G36" s="2" t="s">
        <v>165</v>
      </c>
      <c r="H36" s="2" t="s">
        <v>166</v>
      </c>
      <c r="I36" s="2" t="s">
        <v>40</v>
      </c>
      <c r="J36" s="6">
        <v>0.45</v>
      </c>
      <c r="K36" s="6">
        <f t="shared" si="2"/>
        <v>0.45</v>
      </c>
    </row>
    <row r="37" spans="1:11" x14ac:dyDescent="0.25">
      <c r="A37" s="2"/>
      <c r="B37" s="4">
        <v>1</v>
      </c>
      <c r="C37" s="2" t="s">
        <v>161</v>
      </c>
      <c r="D37" s="2" t="s">
        <v>137</v>
      </c>
      <c r="E37" s="2" t="s">
        <v>163</v>
      </c>
      <c r="F37" s="2" t="s">
        <v>167</v>
      </c>
      <c r="G37" s="2" t="s">
        <v>168</v>
      </c>
      <c r="H37" s="2" t="s">
        <v>137</v>
      </c>
      <c r="I37" s="2" t="s">
        <v>169</v>
      </c>
      <c r="J37" s="6">
        <v>0.24</v>
      </c>
      <c r="K37" s="6">
        <f t="shared" si="2"/>
        <v>0.24</v>
      </c>
    </row>
    <row r="38" spans="1:11" x14ac:dyDescent="0.25">
      <c r="A38" s="2"/>
      <c r="B38" s="4">
        <v>10</v>
      </c>
      <c r="C38" s="2" t="s">
        <v>170</v>
      </c>
      <c r="D38" s="2" t="s">
        <v>137</v>
      </c>
      <c r="E38" s="2" t="s">
        <v>163</v>
      </c>
      <c r="F38" s="2" t="s">
        <v>171</v>
      </c>
      <c r="G38" s="2" t="s">
        <v>172</v>
      </c>
      <c r="H38" s="2" t="s">
        <v>137</v>
      </c>
      <c r="I38" s="2" t="s">
        <v>169</v>
      </c>
      <c r="J38" s="6">
        <v>3.9E-2</v>
      </c>
      <c r="K38" s="6">
        <f t="shared" si="2"/>
        <v>0.39</v>
      </c>
    </row>
    <row r="39" spans="1:11" x14ac:dyDescent="0.25">
      <c r="A39" s="2"/>
      <c r="B39" s="4">
        <v>1</v>
      </c>
      <c r="C39" s="2" t="s">
        <v>173</v>
      </c>
      <c r="D39" s="2" t="s">
        <v>174</v>
      </c>
      <c r="E39" s="2" t="s">
        <v>175</v>
      </c>
      <c r="F39" s="2" t="s">
        <v>176</v>
      </c>
      <c r="G39" s="2" t="s">
        <v>177</v>
      </c>
      <c r="H39" s="2" t="s">
        <v>178</v>
      </c>
      <c r="I39" s="2" t="s">
        <v>40</v>
      </c>
      <c r="J39" s="6">
        <v>0.31</v>
      </c>
      <c r="K39" s="6">
        <f t="shared" si="2"/>
        <v>0.31</v>
      </c>
    </row>
    <row r="40" spans="1:11" x14ac:dyDescent="0.25">
      <c r="A40" s="2"/>
      <c r="B40" s="4">
        <v>1</v>
      </c>
      <c r="C40" s="2" t="s">
        <v>179</v>
      </c>
      <c r="D40" s="2" t="s">
        <v>180</v>
      </c>
      <c r="E40" s="2" t="s">
        <v>175</v>
      </c>
      <c r="F40" s="2" t="s">
        <v>181</v>
      </c>
      <c r="G40" s="2" t="s">
        <v>182</v>
      </c>
      <c r="H40" s="2" t="s">
        <v>183</v>
      </c>
      <c r="I40" s="2" t="s">
        <v>40</v>
      </c>
      <c r="J40" s="6">
        <v>0.35</v>
      </c>
      <c r="K40" s="6">
        <f t="shared" si="2"/>
        <v>0.35</v>
      </c>
    </row>
    <row r="41" spans="1:11" x14ac:dyDescent="0.25">
      <c r="A41" s="2"/>
      <c r="B41" s="4">
        <v>1</v>
      </c>
      <c r="C41" s="2" t="s">
        <v>184</v>
      </c>
      <c r="D41" s="2" t="s">
        <v>185</v>
      </c>
      <c r="E41" s="2" t="s">
        <v>175</v>
      </c>
      <c r="F41" s="2" t="s">
        <v>186</v>
      </c>
      <c r="G41" s="2" t="s">
        <v>187</v>
      </c>
      <c r="H41" s="2" t="s">
        <v>188</v>
      </c>
      <c r="I41" s="2" t="s">
        <v>40</v>
      </c>
      <c r="J41" s="6">
        <v>0.5</v>
      </c>
      <c r="K41" s="6">
        <f t="shared" si="2"/>
        <v>0.5</v>
      </c>
    </row>
    <row r="42" spans="1:11" x14ac:dyDescent="0.25">
      <c r="A42" s="2"/>
      <c r="B42" s="4">
        <v>1</v>
      </c>
      <c r="C42" s="2" t="s">
        <v>189</v>
      </c>
      <c r="D42" s="2" t="s">
        <v>190</v>
      </c>
      <c r="E42" s="2" t="s">
        <v>175</v>
      </c>
      <c r="F42" s="2" t="s">
        <v>191</v>
      </c>
      <c r="G42" s="2" t="s">
        <v>192</v>
      </c>
      <c r="H42" s="2" t="s">
        <v>178</v>
      </c>
      <c r="I42" s="2" t="s">
        <v>40</v>
      </c>
      <c r="J42" s="6">
        <v>0.09</v>
      </c>
      <c r="K42" s="6">
        <f t="shared" si="2"/>
        <v>0.09</v>
      </c>
    </row>
    <row r="43" spans="1:11" x14ac:dyDescent="0.25">
      <c r="A43" s="2"/>
      <c r="B43" s="4">
        <v>1</v>
      </c>
      <c r="C43" s="2" t="s">
        <v>193</v>
      </c>
      <c r="D43" s="2" t="s">
        <v>194</v>
      </c>
      <c r="E43" s="2" t="s">
        <v>175</v>
      </c>
      <c r="F43" s="2" t="s">
        <v>195</v>
      </c>
      <c r="G43" s="2" t="s">
        <v>196</v>
      </c>
      <c r="H43" s="2" t="s">
        <v>183</v>
      </c>
      <c r="I43" s="2" t="s">
        <v>40</v>
      </c>
      <c r="J43" s="6">
        <v>0.09</v>
      </c>
      <c r="K43" s="6">
        <f t="shared" si="2"/>
        <v>0.09</v>
      </c>
    </row>
    <row r="44" spans="1:11" x14ac:dyDescent="0.25">
      <c r="A44" s="2"/>
      <c r="B44" s="4">
        <v>1</v>
      </c>
      <c r="C44" s="2" t="s">
        <v>197</v>
      </c>
      <c r="D44" s="2" t="s">
        <v>198</v>
      </c>
      <c r="E44" s="2" t="s">
        <v>175</v>
      </c>
      <c r="F44" s="2" t="s">
        <v>199</v>
      </c>
      <c r="G44" s="2" t="s">
        <v>200</v>
      </c>
      <c r="H44" s="2" t="s">
        <v>188</v>
      </c>
      <c r="I44" s="2" t="s">
        <v>40</v>
      </c>
      <c r="J44" s="6">
        <v>0.14000000000000001</v>
      </c>
      <c r="K44" s="6">
        <f t="shared" si="2"/>
        <v>0.14000000000000001</v>
      </c>
    </row>
    <row r="45" spans="1:11" x14ac:dyDescent="0.25">
      <c r="A45" s="2"/>
      <c r="B45" s="11">
        <v>60</v>
      </c>
      <c r="C45" s="2" t="s">
        <v>201</v>
      </c>
      <c r="D45" s="2"/>
      <c r="E45" s="2" t="s">
        <v>202</v>
      </c>
      <c r="F45" s="2" t="s">
        <v>203</v>
      </c>
      <c r="G45" s="2" t="s">
        <v>204</v>
      </c>
      <c r="H45" s="2"/>
      <c r="I45" s="2" t="s">
        <v>40</v>
      </c>
      <c r="J45">
        <v>8.7300000000000003E-2</v>
      </c>
      <c r="K45" s="6">
        <f t="shared" si="2"/>
        <v>5.2380000000000004</v>
      </c>
    </row>
    <row r="46" spans="1:11" x14ac:dyDescent="0.25">
      <c r="A46" s="2"/>
      <c r="B46" s="11">
        <v>1</v>
      </c>
      <c r="C46" s="2" t="s">
        <v>205</v>
      </c>
      <c r="D46" s="2" t="s">
        <v>206</v>
      </c>
      <c r="E46" s="2" t="s">
        <v>207</v>
      </c>
      <c r="F46" s="2" t="s">
        <v>208</v>
      </c>
      <c r="G46" s="2" t="s">
        <v>209</v>
      </c>
      <c r="H46" s="2" t="s">
        <v>210</v>
      </c>
      <c r="I46" s="2" t="s">
        <v>40</v>
      </c>
      <c r="J46" s="6">
        <v>8.31</v>
      </c>
      <c r="K46" s="6">
        <f t="shared" si="2"/>
        <v>8.31</v>
      </c>
    </row>
    <row r="47" spans="1:11" x14ac:dyDescent="0.25">
      <c r="A47" s="2"/>
      <c r="B47" s="11">
        <v>2</v>
      </c>
      <c r="C47" s="2" t="s">
        <v>211</v>
      </c>
      <c r="D47" s="2"/>
      <c r="E47" s="2" t="s">
        <v>175</v>
      </c>
      <c r="F47" s="2" t="s">
        <v>212</v>
      </c>
      <c r="G47" s="2" t="s">
        <v>213</v>
      </c>
      <c r="H47" s="2" t="s">
        <v>210</v>
      </c>
      <c r="I47" s="2" t="s">
        <v>40</v>
      </c>
      <c r="J47" s="6">
        <v>0.91</v>
      </c>
      <c r="K47" s="6">
        <f t="shared" si="2"/>
        <v>1.82</v>
      </c>
    </row>
    <row r="48" spans="1:11" x14ac:dyDescent="0.25">
      <c r="A48" s="2"/>
      <c r="B48" s="4">
        <v>4</v>
      </c>
      <c r="C48" s="2" t="s">
        <v>214</v>
      </c>
      <c r="D48" s="2"/>
      <c r="E48" s="2" t="s">
        <v>22</v>
      </c>
      <c r="F48" s="2" t="s">
        <v>214</v>
      </c>
      <c r="G48" s="2" t="s">
        <v>215</v>
      </c>
      <c r="H48" s="2" t="s">
        <v>216</v>
      </c>
      <c r="I48" s="2"/>
      <c r="J48">
        <v>0.34</v>
      </c>
      <c r="K48" s="6">
        <f t="shared" si="2"/>
        <v>1.36</v>
      </c>
    </row>
    <row r="49" spans="1:11" x14ac:dyDescent="0.25">
      <c r="A49" s="2"/>
      <c r="B49" s="4">
        <v>4</v>
      </c>
      <c r="C49" s="2" t="s">
        <v>217</v>
      </c>
      <c r="D49" s="2"/>
      <c r="E49" s="2" t="s">
        <v>218</v>
      </c>
      <c r="F49" s="2" t="s">
        <v>217</v>
      </c>
      <c r="G49" s="2" t="s">
        <v>219</v>
      </c>
      <c r="H49" s="2" t="s">
        <v>220</v>
      </c>
      <c r="I49" s="2"/>
      <c r="J49" s="6">
        <v>0.12</v>
      </c>
      <c r="K49" s="6">
        <f t="shared" si="2"/>
        <v>0.48</v>
      </c>
    </row>
    <row r="50" spans="1:11" ht="18.75" x14ac:dyDescent="0.3">
      <c r="A50" s="2"/>
      <c r="B50" s="2"/>
      <c r="C50" s="2"/>
      <c r="D50" s="2"/>
      <c r="E50" s="2"/>
      <c r="F50" s="2"/>
      <c r="G50" s="2"/>
      <c r="H50" s="2"/>
      <c r="I50" s="2"/>
      <c r="J50" s="10" t="s">
        <v>221</v>
      </c>
      <c r="K50" s="8">
        <f>SUM(K5:K47)</f>
        <v>45.221000000000004</v>
      </c>
    </row>
    <row r="51" spans="1:11" ht="18.75" x14ac:dyDescent="0.3">
      <c r="A51" s="2"/>
      <c r="B51" s="2"/>
      <c r="C51" s="2"/>
      <c r="D51" s="2"/>
      <c r="E51" s="2"/>
      <c r="F51" s="2"/>
      <c r="G51" s="2"/>
      <c r="H51" s="2"/>
      <c r="I51" s="2"/>
      <c r="J51" s="10" t="s">
        <v>222</v>
      </c>
      <c r="K51" s="9">
        <f>PRODUCT(K50,1.24)</f>
        <v>56.074040000000004</v>
      </c>
    </row>
  </sheetData>
  <mergeCells count="11">
    <mergeCell ref="A1:A2"/>
    <mergeCell ref="B1:B2"/>
    <mergeCell ref="D1:D2"/>
    <mergeCell ref="E1:E2"/>
    <mergeCell ref="F1:F2"/>
    <mergeCell ref="C3:C4"/>
    <mergeCell ref="H1:H2"/>
    <mergeCell ref="I1:I2"/>
    <mergeCell ref="K1:K2"/>
    <mergeCell ref="J1:J2"/>
    <mergeCell ref="G1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Antti Kurkinen</dc:creator>
  <cp:keywords/>
  <dc:description/>
  <cp:lastModifiedBy>Antti Kurkinen</cp:lastModifiedBy>
  <cp:revision/>
  <dcterms:created xsi:type="dcterms:W3CDTF">2024-02-23T14:55:49Z</dcterms:created>
  <dcterms:modified xsi:type="dcterms:W3CDTF">2024-03-25T12:43:37Z</dcterms:modified>
  <cp:category/>
  <cp:contentStatus/>
</cp:coreProperties>
</file>